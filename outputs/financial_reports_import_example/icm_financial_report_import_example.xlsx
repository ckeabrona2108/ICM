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659acb553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_Upload_Template" sheetId="1" r:id="Rc7eebe632b0340e5"/>
    <x:sheet xmlns:r="http://schemas.openxmlformats.org/officeDocument/2006/relationships" name="Summary" sheetId="2" r:id="R9752f1366b0944b4"/>
    <x:sheet xmlns:r="http://schemas.openxmlformats.org/officeDocument/2006/relationships" name="Payouts" sheetId="3" r:id="Rd47fee0bc9d64821"/>
    <x:sheet xmlns:r="http://schemas.openxmlformats.org/officeDocument/2006/relationships" name="Notes" sheetId="4" r:id="R9faf57331f0f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"/>
    <x:numFmt numFmtId="203" formatCode="#,##0.00"/>
    <x:numFmt numFmtId="204" formatCode="0.00%"/>
  </x:numFmts>
  <x:fonts count="4">
    <x:font>
      <x:sz val="11"/>
      <x:name val="Carlito"/>
    </x:font>
    <x:font>
      <x:b/>
      <x:sz val="18"/>
      <x:color rgb="FF111827"/>
      <x:name val="Carlito"/>
    </x:font>
    <x:font>
      <x:i/>
      <x:sz val="10"/>
      <x:color rgb="FF6B7280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7DAE3"/>
      </x:left>
      <x:right style="thin">
        <x:color rgb="FFD7DAE3"/>
      </x:right>
      <x:top style="thin">
        <x:color rgb="FFD7DAE3"/>
      </x:top>
      <x:bottom style="thin">
        <x:color rgb="FFD7DAE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vertical="center"/>
    </x:xf>
    <x:xf numFmtId="0" fontId="3" borderId="1" xfId="0" applyNumberFormat="1" applyFont="1" applyFill="0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c5ac7e9384829" /><Relationship Type="http://schemas.openxmlformats.org/officeDocument/2006/relationships/theme" Target="/xl/theme/theme1.xml" Id="R37e3504946ea44e3" /><Relationship Type="http://schemas.openxmlformats.org/officeDocument/2006/relationships/sharedStrings" Target="/xl/sharedStrings.xml" Id="Rf0fb8dde5dfb4b28" /><Relationship Type="http://schemas.openxmlformats.org/officeDocument/2006/relationships/worksheet" Target="/xl/worksheets/sheet1.xml" Id="Rc7eebe632b0340e5" /><Relationship Type="http://schemas.openxmlformats.org/officeDocument/2006/relationships/worksheet" Target="/xl/worksheets/sheet2.xml" Id="R9752f1366b0944b4" /><Relationship Type="http://schemas.openxmlformats.org/officeDocument/2006/relationships/worksheet" Target="/xl/worksheets/sheet3.xml" Id="Rd47fee0bc9d64821" /><Relationship Type="http://schemas.openxmlformats.org/officeDocument/2006/relationships/worksheet" Target="/xl/worksheets/sheet4.xml" Id="R9faf57331f0f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1.220001220703125" hidden="0" customWidth="1"/>
    <x:col min="2" max="2" width="9.220000267028809" hidden="0" customWidth="1"/>
    <x:col min="3" max="3" width="13.779999732971191" hidden="0" customWidth="1"/>
    <x:col min="4" max="4" width="36.66999816894531" hidden="0" customWidth="1"/>
    <x:col min="5" max="5" width="18.219999313354492" hidden="0" customWidth="1"/>
    <x:col min="6" max="6" width="19.440000534057617" hidden="0" customWidth="1"/>
    <x:col min="7" max="7" width="13.670000076293945" hidden="0" customWidth="1"/>
    <x:col min="8" max="8" width="18" hidden="0" customWidth="1"/>
    <x:col min="9" max="9" width="13.329999923706055" hidden="0" customWidth="1"/>
    <x:col min="10" max="10" width="12.109999656677246" hidden="0" customWidth="1"/>
    <x:col min="11" max="11" width="11.5600004196167" hidden="0" customWidth="1"/>
    <x:col min="12" max="12" width="6.440000057220459" hidden="0" customWidth="1"/>
    <x:col min="13" max="13" width="6.78000020980835" hidden="0" customWidth="1"/>
    <x:col min="14" max="14" width="11.5600004196167" hidden="0" customWidth="1"/>
    <x:col min="15" max="15" width="13.779999732971191" hidden="0" customWidth="1"/>
    <x:col min="16" max="16" width="16.670000076293945" hidden="0" customWidth="1"/>
    <x:col min="17" max="17" width="9.670000076293945" hidden="0" customWidth="1"/>
    <x:col min="18" max="18" width="7.329999923706055" hidden="0" customWidth="1"/>
    <x:col min="19" max="19" width="17.440000534057617" hidden="0" customWidth="1"/>
    <x:col min="20" max="20" width="21.559999465942383" hidden="0" customWidth="1"/>
    <x:col min="21" max="21" width="9.5600004196167" hidden="0" customWidth="1"/>
    <x:col min="22" max="22" width="21.440000534057617" hidden="0" customWidth="1"/>
  </x:cols>
  <x:sheetData>
    <x:row r="1">
      <x:c r="A1" s="1" t="str">
        <x:v>ICM financial report import example</x:v>
      </x:c>
    </x:row>
    <x:row r="2">
      <x:c r="A2" s="2" t="str">
        <x:v>Main sheet for admin upload. Keep headers unchanged; append rows below.</x:v>
      </x:c>
    </x:row>
    <x:row r="4" ht="42" customHeight="1">
      <x:c r="A4" s="9" t="str">
        <x:v>period_start</x:v>
      </x:c>
      <x:c r="B4" s="9" t="str">
        <x:v>period_end</x:v>
      </x:c>
      <x:c r="C4" s="9" t="str">
        <x:v>statement_id</x:v>
      </x:c>
      <x:c r="D4" s="9" t="str">
        <x:v>user_id</x:v>
      </x:c>
      <x:c r="E4" s="9" t="str">
        <x:v>user_email</x:v>
      </x:c>
      <x:c r="F4" s="9" t="str">
        <x:v>release_id</x:v>
      </x:c>
      <x:c r="G4" s="9" t="str">
        <x:v>release_title</x:v>
      </x:c>
      <x:c r="H4" s="9" t="str">
        <x:v>upc</x:v>
      </x:c>
      <x:c r="I4" s="9" t="str">
        <x:v>track_title</x:v>
      </x:c>
      <x:c r="J4" s="9" t="str">
        <x:v>isrc</x:v>
      </x:c>
      <x:c r="K4" s="9" t="str">
        <x:v>platform</x:v>
      </x:c>
      <x:c r="L4" s="9" t="str">
        <x:v>country</x:v>
      </x:c>
      <x:c r="M4" s="9" t="str">
        <x:v>streams</x:v>
      </x:c>
      <x:c r="N4" s="9" t="str">
        <x:v>gross_amount</x:v>
      </x:c>
      <x:c r="O4" s="9" t="str">
        <x:v>commission_rate</x:v>
      </x:c>
      <x:c r="P4" s="9" t="str">
        <x:v>commission_amount</x:v>
      </x:c>
      <x:c r="Q4" s="9" t="str">
        <x:v>net_amount</x:v>
      </x:c>
      <x:c r="R4" s="9" t="str">
        <x:v>currency</x:v>
      </x:c>
      <x:c r="S4" s="9" t="str">
        <x:v>status</x:v>
      </x:c>
      <x:c r="T4" s="9" t="str">
        <x:v>source_file</x:v>
      </x:c>
      <x:c r="U4" s="9" t="str">
        <x:v>source_row</x:v>
      </x:c>
      <x:c r="V4" s="9" t="str">
        <x:v>notes</x:v>
      </x:c>
    </x:row>
    <x:row r="5">
      <x:c r="A5" s="10" t="n">
        <x:v>46204</x:v>
      </x:c>
      <x:c r="B5" s="10" t="n">
        <x:v>46234</x:v>
      </x:c>
      <x:c r="C5" s="4" t="str">
        <x:v>stmt-2026-07-001</x:v>
      </x:c>
      <x:c r="D5" s="4" t="str">
        <x:v>user-icm-acf04be89e52496092a88040491fedcc</x:v>
      </x:c>
      <x:c r="E5" s="4" t="str">
        <x:v>artist@example.com</x:v>
      </x:c>
      <x:c r="F5" s="4" t="str">
        <x:v>rel_8f72a44</x:v>
      </x:c>
      <x:c r="G5" s="4" t="str">
        <x:v>Night Drive</x:v>
      </x:c>
      <x:c r="H5" s="5" t="str">
        <x:v>4601234567890 </x:v>
      </x:c>
      <x:c r="I5" s="4" t="str">
        <x:v>Night Drive</x:v>
      </x:c>
      <x:c r="J5" s="4" t="str">
        <x:v>QZICM2600001</x:v>
      </x:c>
      <x:c r="K5" s="4" t="str">
        <x:v>Spotify</x:v>
      </x:c>
      <x:c r="L5" s="4" t="str">
        <x:v>RU</x:v>
      </x:c>
      <x:c r="M5" s="11" t="n">
        <x:v>125430</x:v>
      </x:c>
      <x:c r="N5" s="12" t="n">
        <x:v>48120.5</x:v>
      </x:c>
      <x:c r="O5" s="13" t="n">
        <x:v>0.15</x:v>
      </x:c>
      <x:c r="P5" s="12" t="n">
        <x:v>7218.08</x:v>
      </x:c>
      <x:c r="Q5" s="12" t="n">
        <x:v>40902.42</x:v>
      </x:c>
      <x:c r="R5" s="4" t="str">
        <x:v>RUB</x:v>
      </x:c>
      <x:c r="S5" s="4" t="str">
        <x:v>approved</x:v>
      </x:c>
      <x:c r="T5" s="4" t="str">
        <x:v>spotify_2026_07.csv</x:v>
      </x:c>
      <x:c r="U5" s="11" t="n">
        <x:v>42</x:v>
      </x:c>
      <x:c r="V5" s="4" t="str">
        <x:v>Approved for payout</x:v>
      </x:c>
    </x:row>
    <x:row r="6">
      <x:c r="A6" s="10" t="n">
        <x:v>46204</x:v>
      </x:c>
      <x:c r="B6" s="10" t="n">
        <x:v>46234</x:v>
      </x:c>
      <x:c r="C6" s="4" t="str">
        <x:v>stmt-2026-07-001</x:v>
      </x:c>
      <x:c r="D6" s="4" t="str">
        <x:v>user-icm-acf04be89e52496092a88040491fedcc</x:v>
      </x:c>
      <x:c r="E6" s="4" t="str">
        <x:v>artist@example.com</x:v>
      </x:c>
      <x:c r="F6" s="4" t="str">
        <x:v>rel_8f72a44</x:v>
      </x:c>
      <x:c r="G6" s="4" t="str">
        <x:v>Night Drive</x:v>
      </x:c>
      <x:c r="H6" s="5" t="str">
        <x:v>4601234567890 </x:v>
      </x:c>
      <x:c r="I6" s="4" t="str">
        <x:v>Night Drive</x:v>
      </x:c>
      <x:c r="J6" s="4" t="str">
        <x:v>QZICM2600001</x:v>
      </x:c>
      <x:c r="K6" s="4" t="str">
        <x:v>Apple Music</x:v>
      </x:c>
      <x:c r="L6" s="4" t="str">
        <x:v>US</x:v>
      </x:c>
      <x:c r="M6" s="11" t="n">
        <x:v>18400</x:v>
      </x:c>
      <x:c r="N6" s="12" t="n">
        <x:v>16230.75</x:v>
      </x:c>
      <x:c r="O6" s="13" t="n">
        <x:v>0.15</x:v>
      </x:c>
      <x:c r="P6" s="12" t="n">
        <x:v>2434.61</x:v>
      </x:c>
      <x:c r="Q6" s="12" t="n">
        <x:v>13796.14</x:v>
      </x:c>
      <x:c r="R6" s="4" t="str">
        <x:v>RUB</x:v>
      </x:c>
      <x:c r="S6" s="4" t="str">
        <x:v>approved</x:v>
      </x:c>
      <x:c r="T6" s="4" t="str">
        <x:v>apple_music_2026_07.csv</x:v>
      </x:c>
      <x:c r="U6" s="11" t="n">
        <x:v>118</x:v>
      </x:c>
      <x:c r="V6" s="4" t="str"/>
    </x:row>
    <x:row r="7">
      <x:c r="A7" s="10" t="n">
        <x:v>46204</x:v>
      </x:c>
      <x:c r="B7" s="10" t="n">
        <x:v>46234</x:v>
      </x:c>
      <x:c r="C7" s="4" t="str">
        <x:v>stmt-2026-07-002</x:v>
      </x:c>
      <x:c r="D7" s="4" t="str">
        <x:v>user-icm-bbbb1111222233334444555566667777</x:v>
      </x:c>
      <x:c r="E7" s="4" t="str">
        <x:v>producer@example.com</x:v>
      </x:c>
      <x:c r="F7" s="4" t="str">
        <x:v>rel_70bb19a</x:v>
      </x:c>
      <x:c r="G7" s="4" t="str">
        <x:v>Trap Kit</x:v>
      </x:c>
      <x:c r="H7" s="5" t="str">
        <x:v>4601234567906 </x:v>
      </x:c>
      <x:c r="I7" s="4" t="str">
        <x:v>Trap Kit</x:v>
      </x:c>
      <x:c r="J7" s="4" t="str">
        <x:v>QZICM2600002</x:v>
      </x:c>
      <x:c r="K7" s="4" t="str">
        <x:v>YouTube Music</x:v>
      </x:c>
      <x:c r="L7" s="4" t="str">
        <x:v>DE</x:v>
      </x:c>
      <x:c r="M7" s="11" t="n">
        <x:v>9300</x:v>
      </x:c>
      <x:c r="N7" s="12" t="n">
        <x:v>3840</x:v>
      </x:c>
      <x:c r="O7" s="13" t="n">
        <x:v>0.2</x:v>
      </x:c>
      <x:c r="P7" s="12" t="n">
        <x:v>768</x:v>
      </x:c>
      <x:c r="Q7" s="12" t="n">
        <x:v>3072</x:v>
      </x:c>
      <x:c r="R7" s="4" t="str">
        <x:v>RUB</x:v>
      </x:c>
      <x:c r="S7" s="4" t="str">
        <x:v>pending_user_approval</x:v>
      </x:c>
      <x:c r="T7" s="4" t="str">
        <x:v>youtube_music_2026_07.csv</x:v>
      </x:c>
      <x:c r="U7" s="11" t="n">
        <x:v>7</x:v>
      </x:c>
      <x:c r="V7" s="4" t="str">
        <x:v>Waiting for user confirmation</x:v>
      </x:c>
    </x:row>
    <x:row r="8">
      <x:c r="A8" s="10" t="n">
        <x:v>46204</x:v>
      </x:c>
      <x:c r="B8" s="10" t="n">
        <x:v>46234</x:v>
      </x:c>
      <x:c r="C8" s="4" t="str">
        <x:v>stmt-2026-07-003</x:v>
      </x:c>
      <x:c r="D8" s="4" t="str">
        <x:v>user-icm-cccc1111222233334444555566667777</x:v>
      </x:c>
      <x:c r="E8" s="4" t="str">
        <x:v>label@example.com</x:v>
      </x:c>
      <x:c r="F8" s="4" t="str">
        <x:v>rel_missing_admin_review</x:v>
      </x:c>
      <x:c r="G8" s="4" t="str">
        <x:v>Unknown Release</x:v>
      </x:c>
      <x:c r="H8" s="5" t="str"/>
      <x:c r="I8" s="4" t="str">
        <x:v>Unmatched Track</x:v>
      </x:c>
      <x:c r="J8" s="4" t="str"/>
      <x:c r="K8" s="4" t="str">
        <x:v>TikTok</x:v>
      </x:c>
      <x:c r="L8" s="4" t="str">
        <x:v>BR</x:v>
      </x:c>
      <x:c r="M8" s="11" t="n">
        <x:v>22000</x:v>
      </x:c>
      <x:c r="N8" s="12" t="n">
        <x:v>1450.25</x:v>
      </x:c>
      <x:c r="O8" s="13" t="n">
        <x:v>0.15</x:v>
      </x:c>
      <x:c r="P8" s="12" t="n">
        <x:v>217.54</x:v>
      </x:c>
      <x:c r="Q8" s="12" t="n">
        <x:v>1232.71</x:v>
      </x:c>
      <x:c r="R8" s="4" t="str">
        <x:v>RUB</x:v>
      </x:c>
      <x:c r="S8" s="4" t="str">
        <x:v>needs_admin_review</x:v>
      </x:c>
      <x:c r="T8" s="4" t="str">
        <x:v>tiktok_2026_07.csv</x:v>
      </x:c>
      <x:c r="U8" s="11" t="n">
        <x:v>301</x:v>
      </x:c>
      <x:c r="V8" s="4" t="str">
        <x:v>Missing UPC/ISRC mapping</x:v>
      </x:c>
    </x:row>
    <x:row r="9">
      <x:c r="A9" s="10" t="n">
        <x:v>46204</x:v>
      </x:c>
      <x:c r="B9" s="10" t="n">
        <x:v>46234</x:v>
      </x:c>
      <x:c r="C9" s="4" t="str">
        <x:v>stmt-2026-07-004</x:v>
      </x:c>
      <x:c r="D9" s="4" t="str">
        <x:v>user-icm-dddd1111222233334444555566667777</x:v>
      </x:c>
      <x:c r="E9" s="4" t="str">
        <x:v>artist2@example.com</x:v>
      </x:c>
      <x:c r="F9" s="4" t="str">
        <x:v>rel_23acd91</x:v>
      </x:c>
      <x:c r="G9" s="4" t="str">
        <x:v>Summer Loop</x:v>
      </x:c>
      <x:c r="H9" s="5" t="str">
        <x:v>4601234567913 </x:v>
      </x:c>
      <x:c r="I9" s="4" t="str">
        <x:v>Summer Loop</x:v>
      </x:c>
      <x:c r="J9" s="4" t="str">
        <x:v>QZICM2600003</x:v>
      </x:c>
      <x:c r="K9" s="4" t="str">
        <x:v>Spotify</x:v>
      </x:c>
      <x:c r="L9" s="4" t="str">
        <x:v>RU</x:v>
      </x:c>
      <x:c r="M9" s="11" t="n">
        <x:v>0</x:v>
      </x:c>
      <x:c r="N9" s="12" t="n">
        <x:v>0</x:v>
      </x:c>
      <x:c r="O9" s="13" t="n">
        <x:v>0.15</x:v>
      </x:c>
      <x:c r="P9" s="12" t="n">
        <x:v>0</x:v>
      </x:c>
      <x:c r="Q9" s="12" t="n">
        <x:v>0</x:v>
      </x:c>
      <x:c r="R9" s="4" t="str">
        <x:v>RUB</x:v>
      </x:c>
      <x:c r="S9" s="4" t="str">
        <x:v>voided</x:v>
      </x:c>
      <x:c r="T9" s="4" t="str">
        <x:v>spotify_2026_07.csv</x:v>
      </x:c>
      <x:c r="U9" s="11" t="n">
        <x:v>489</x:v>
      </x:c>
      <x:c r="V9" s="4" t="str">
        <x:v>Voided duplicate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.78000020980835" hidden="0" customWidth="1"/>
  </x:cols>
  <x:sheetData>
    <x:row r="1">
      <x:c r="A1" s="1" t="str">
        <x:v>Import summary</x:v>
      </x:c>
    </x:row>
    <x:row r="2">
      <x:c r="A2" s="2" t="str">
        <x:v>Formula checks for the uploaded report.</x:v>
      </x:c>
    </x:row>
    <x:row r="4">
      <x:c r="A4" s="9" t="str">
        <x:v>Metric</x:v>
      </x:c>
      <x:c r="B4" s="9" t="str">
        <x:v>Value</x:v>
      </x:c>
    </x:row>
    <x:row r="5">
      <x:c r="A5" s="4" t="str">
        <x:v>Rows in upload</x:v>
      </x:c>
      <x:c r="B5" s="4" t="n">
        <x:f>COUNTA('Admin_Upload_Template'!A5:A205)</x:f>
        <x:v>5</x:v>
      </x:c>
    </x:row>
    <x:row r="6">
      <x:c r="A6" s="4" t="str">
        <x:v>Total streams</x:v>
      </x:c>
      <x:c r="B6" s="11" t="n">
        <x:f>SUM('Admin_Upload_Template'!M5:M205)</x:f>
        <x:v>175130</x:v>
      </x:c>
    </x:row>
    <x:row r="7">
      <x:c r="A7" s="4" t="str">
        <x:v>Gross amount</x:v>
      </x:c>
      <x:c r="B7" s="12" t="n">
        <x:f>SUM('Admin_Upload_Template'!N5:N205)</x:f>
        <x:v>69641.5</x:v>
      </x:c>
    </x:row>
    <x:row r="8">
      <x:c r="A8" s="4" t="str">
        <x:v>Commission amount</x:v>
      </x:c>
      <x:c r="B8" s="12" t="n">
        <x:f>SUM('Admin_Upload_Template'!P5:P205)</x:f>
        <x:v>10638.230000000001</x:v>
      </x:c>
    </x:row>
    <x:row r="9">
      <x:c r="A9" s="4" t="str">
        <x:v>Net amount</x:v>
      </x:c>
      <x:c r="B9" s="12" t="n">
        <x:f>SUM('Admin_Upload_Template'!Q5:Q205)</x:f>
        <x:v>59003.27</x:v>
      </x:c>
    </x:row>
    <x:row r="10">
      <x:c r="A10" s="4" t="str">
        <x:v>Approved net</x:v>
      </x:c>
      <x:c r="B10" s="12" t="n">
        <x:f>SUMIFS('Admin_Upload_Template'!Q5:Q205,'Admin_Upload_Template'!S5:S205,"approved")</x:f>
        <x:v>54698.56</x:v>
      </x:c>
    </x:row>
    <x:row r="11">
      <x:c r="A11" s="4" t="str">
        <x:v>Rows needing admin review</x:v>
      </x:c>
      <x:c r="B11" s="11" t="n">
        <x:f>COUNTIF('Admin_Upload_Template'!S5:S205,"needs_admin_review")</x:f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.11000061035156" hidden="0" customWidth="1"/>
    <x:col min="2" max="2" width="13.779999732971191" hidden="0" customWidth="1"/>
    <x:col min="3" max="3" width="36.66999816894531" hidden="0" customWidth="1"/>
    <x:col min="4" max="4" width="18.219999313354492" hidden="0" customWidth="1"/>
    <x:col min="5" max="5" width="9.670000076293945" hidden="0" customWidth="1"/>
    <x:col min="6" max="6" width="7.329999923706055" hidden="0" customWidth="1"/>
    <x:col min="7" max="7" width="20.219999313354492" hidden="0" customWidth="1"/>
    <x:col min="8" max="8" width="17.110000610351562" hidden="0" customWidth="1"/>
  </x:cols>
  <x:sheetData>
    <x:row r="1">
      <x:c r="A1" s="1" t="str">
        <x:v>Payouts</x:v>
      </x:c>
    </x:row>
    <x:row r="2">
      <x:c r="A2" s="2" t="str">
        <x:v>Optional payout batch sheet for approved statements.</x:v>
      </x:c>
    </x:row>
    <x:row r="4">
      <x:c r="A4" s="9" t="str">
        <x:v>payout_batch_id</x:v>
      </x:c>
      <x:c r="B4" s="9" t="str">
        <x:v>statement_id</x:v>
      </x:c>
      <x:c r="C4" s="9" t="str">
        <x:v>user_id</x:v>
      </x:c>
      <x:c r="D4" s="9" t="str">
        <x:v>user_email</x:v>
      </x:c>
      <x:c r="E4" s="9" t="str">
        <x:v>net_amount</x:v>
      </x:c>
      <x:c r="F4" s="9" t="str">
        <x:v>currency</x:v>
      </x:c>
      <x:c r="G4" s="9" t="str">
        <x:v>payout_status</x:v>
      </x:c>
      <x:c r="H4" s="9" t="str">
        <x:v>planned_payout_date</x:v>
      </x:c>
    </x:row>
    <x:row r="5">
      <x:c r="A5" s="4" t="str">
        <x:v>payout-2026-07-001</x:v>
      </x:c>
      <x:c r="B5" s="4" t="str">
        <x:v>stmt-2026-07-001</x:v>
      </x:c>
      <x:c r="C5" s="4" t="str">
        <x:v>user-icm-acf04be89e52496092a88040491fedcc</x:v>
      </x:c>
      <x:c r="D5" s="4" t="str">
        <x:v>artist@example.com</x:v>
      </x:c>
      <x:c r="E5" s="12" t="n">
        <x:v>54698.56</x:v>
      </x:c>
      <x:c r="F5" s="4" t="str">
        <x:v>RUB</x:v>
      </x:c>
      <x:c r="G5" s="4" t="str">
        <x:v>ready</x:v>
      </x:c>
      <x:c r="H5" s="10" t="n">
        <x:v>46249</x:v>
      </x:c>
    </x:row>
    <x:row r="6">
      <x:c r="A6" s="4" t="str">
        <x:v>payout-2026-07-002</x:v>
      </x:c>
      <x:c r="B6" s="4" t="str">
        <x:v>stmt-2026-07-002</x:v>
      </x:c>
      <x:c r="C6" s="4" t="str">
        <x:v>user-icm-bbbb1111222233334444555566667777</x:v>
      </x:c>
      <x:c r="D6" s="4" t="str">
        <x:v>producer@example.com</x:v>
      </x:c>
      <x:c r="E6" s="12" t="n">
        <x:v>3072</x:v>
      </x:c>
      <x:c r="F6" s="4" t="str">
        <x:v>RUB</x:v>
      </x:c>
      <x:c r="G6" s="4" t="str">
        <x:v>blocked_pending_approval</x:v>
      </x:c>
      <x:c r="H6" s="10" t="n">
        <x:v>46249</x:v>
      </x:c>
    </x:row>
    <x:row r="7">
      <x:c r="A7" s="4" t="str">
        <x:v>payout-2026-07-003</x:v>
      </x:c>
      <x:c r="B7" s="4" t="str">
        <x:v>stmt-2026-07-003</x:v>
      </x:c>
      <x:c r="C7" s="4" t="str">
        <x:v>user-icm-cccc1111222233334444555566667777</x:v>
      </x:c>
      <x:c r="D7" s="4" t="str">
        <x:v>label@example.com</x:v>
      </x:c>
      <x:c r="E7" s="12" t="n">
        <x:v>1232.71</x:v>
      </x:c>
      <x:c r="F7" s="4" t="str">
        <x:v>RUB</x:v>
      </x:c>
      <x:c r="G7" s="4" t="str">
        <x:v>blocked_admin_review</x:v>
      </x:c>
      <x:c r="H7" s="10" t="n">
        <x:v>46249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79998779296875" hidden="0" customWidth="1"/>
    <x:col min="2" max="2" width="11.109999656677246" hidden="0" customWidth="1"/>
    <x:col min="3" max="3" width="6.110000133514404" hidden="0" customWidth="1"/>
    <x:col min="4" max="4" width="59" hidden="0" customWidth="1"/>
  </x:cols>
  <x:sheetData>
    <x:row r="1">
      <x:c r="A1" s="1" t="str">
        <x:v>Upload rules</x:v>
      </x:c>
    </x:row>
    <x:row r="2">
      <x:c r="A2" s="2" t="str">
        <x:v>Use this sheet as a compact contract for parser validation.</x:v>
      </x:c>
    </x:row>
    <x:row r="4">
      <x:c r="A4" s="9" t="str">
        <x:v>Field</x:v>
      </x:c>
      <x:c r="B4" s="9" t="str">
        <x:v>Required</x:v>
      </x:c>
      <x:c r="C4" s="9" t="str">
        <x:v>Type</x:v>
      </x:c>
      <x:c r="D4" s="9" t="str">
        <x:v>Notes</x:v>
      </x:c>
    </x:row>
    <x:row r="5">
      <x:c r="A5" s="4" t="str">
        <x:v>period_start</x:v>
      </x:c>
      <x:c r="B5" s="4" t="str">
        <x:v>yes</x:v>
      </x:c>
      <x:c r="C5" s="4" t="str">
        <x:v>date</x:v>
      </x:c>
      <x:c r="D5" s="4" t="str">
        <x:v>Start of royalty/reporting period.</x:v>
      </x:c>
    </x:row>
    <x:row r="6">
      <x:c r="A6" s="4" t="str">
        <x:v>period_end</x:v>
      </x:c>
      <x:c r="B6" s="4" t="str">
        <x:v>yes</x:v>
      </x:c>
      <x:c r="C6" s="4" t="str">
        <x:v>date</x:v>
      </x:c>
      <x:c r="D6" s="4" t="str">
        <x:v>End of royalty/reporting period.</x:v>
      </x:c>
    </x:row>
    <x:row r="7">
      <x:c r="A7" s="4" t="str">
        <x:v>statement_id</x:v>
      </x:c>
      <x:c r="B7" s="4" t="str">
        <x:v>yes</x:v>
      </x:c>
      <x:c r="C7" s="4" t="str">
        <x:v>text</x:v>
      </x:c>
      <x:c r="D7" s="4" t="str">
        <x:v>Stable statement id; used for deduplication.</x:v>
      </x:c>
    </x:row>
    <x:row r="8">
      <x:c r="A8" s="4" t="str">
        <x:v>user_id</x:v>
      </x:c>
      <x:c r="B8" s="4" t="str">
        <x:v>preferred</x:v>
      </x:c>
      <x:c r="C8" s="4" t="str">
        <x:v>text</x:v>
      </x:c>
      <x:c r="D8" s="4" t="str">
        <x:v>Use when known. Otherwise match by user_email.</x:v>
      </x:c>
    </x:row>
    <x:row r="9">
      <x:c r="A9" s="4" t="str">
        <x:v>user_email</x:v>
      </x:c>
      <x:c r="B9" s="4" t="str">
        <x:v>yes</x:v>
      </x:c>
      <x:c r="C9" s="4" t="str">
        <x:v>text</x:v>
      </x:c>
      <x:c r="D9" s="4" t="str">
        <x:v>Fallback user matching key.</x:v>
      </x:c>
    </x:row>
    <x:row r="10">
      <x:c r="A10" s="4" t="str">
        <x:v>release_id</x:v>
      </x:c>
      <x:c r="B10" s="4" t="str">
        <x:v>preferred</x:v>
      </x:c>
      <x:c r="C10" s="4" t="str">
        <x:v>text</x:v>
      </x:c>
      <x:c r="D10" s="4" t="str">
        <x:v>Use when known. Otherwise match UPC/ISRC.</x:v>
      </x:c>
    </x:row>
    <x:row r="11">
      <x:c r="A11" s="4" t="str">
        <x:v>upc</x:v>
      </x:c>
      <x:c r="B11" s="4" t="str">
        <x:v>recommended</x:v>
      </x:c>
      <x:c r="C11" s="4" t="str">
        <x:v>text</x:v>
      </x:c>
      <x:c r="D11" s="4" t="str">
        <x:v>Release identifier.</x:v>
      </x:c>
    </x:row>
    <x:row r="12">
      <x:c r="A12" s="4" t="str">
        <x:v>isrc</x:v>
      </x:c>
      <x:c r="B12" s="4" t="str">
        <x:v>recommended</x:v>
      </x:c>
      <x:c r="C12" s="4" t="str">
        <x:v>text</x:v>
      </x:c>
      <x:c r="D12" s="4" t="str">
        <x:v>Track identifier.</x:v>
      </x:c>
    </x:row>
    <x:row r="13">
      <x:c r="A13" s="4" t="str">
        <x:v>platform</x:v>
      </x:c>
      <x:c r="B13" s="4" t="str">
        <x:v>yes</x:v>
      </x:c>
      <x:c r="C13" s="4" t="str">
        <x:v>text</x:v>
      </x:c>
      <x:c r="D13" s="4" t="str">
        <x:v>DSP/platform name.</x:v>
      </x:c>
    </x:row>
    <x:row r="14">
      <x:c r="A14" s="4" t="str">
        <x:v>country</x:v>
      </x:c>
      <x:c r="B14" s="4" t="str">
        <x:v>no</x:v>
      </x:c>
      <x:c r="C14" s="4" t="str">
        <x:v>text</x:v>
      </x:c>
      <x:c r="D14" s="4" t="str">
        <x:v>ISO country code if source provides it.</x:v>
      </x:c>
    </x:row>
    <x:row r="15">
      <x:c r="A15" s="4" t="str">
        <x:v>streams</x:v>
      </x:c>
      <x:c r="B15" s="4" t="str">
        <x:v>yes</x:v>
      </x:c>
      <x:c r="C15" s="4" t="str">
        <x:v>integer</x:v>
      </x:c>
      <x:c r="D15" s="4" t="str">
        <x:v>Use 0 when row is revenue-only without stream count.</x:v>
      </x:c>
    </x:row>
    <x:row r="16">
      <x:c r="A16" s="4" t="str">
        <x:v>gross_amount</x:v>
      </x:c>
      <x:c r="B16" s="4" t="str">
        <x:v>yes</x:v>
      </x:c>
      <x:c r="C16" s="4" t="str">
        <x:v>number</x:v>
      </x:c>
      <x:c r="D16" s="4" t="str">
        <x:v>Gross amount in report currency.</x:v>
      </x:c>
    </x:row>
    <x:row r="17">
      <x:c r="A17" s="4" t="str">
        <x:v>commission_rate</x:v>
      </x:c>
      <x:c r="B17" s="4" t="str">
        <x:v>yes</x:v>
      </x:c>
      <x:c r="C17" s="4" t="str">
        <x:v>percent</x:v>
      </x:c>
      <x:c r="D17" s="4" t="str">
        <x:v>Example: 0.15 for 15%.</x:v>
      </x:c>
    </x:row>
    <x:row r="18">
      <x:c r="A18" s="4" t="str">
        <x:v>net_amount</x:v>
      </x:c>
      <x:c r="B18" s="4" t="str">
        <x:v>yes</x:v>
      </x:c>
      <x:c r="C18" s="4" t="str">
        <x:v>number</x:v>
      </x:c>
      <x:c r="D18" s="4" t="str">
        <x:v>Amount payable to user after commission.</x:v>
      </x:c>
    </x:row>
    <x:row r="19">
      <x:c r="A19" s="4" t="str">
        <x:v>status</x:v>
      </x:c>
      <x:c r="B19" s="4" t="str">
        <x:v>yes</x:v>
      </x:c>
      <x:c r="C19" s="4" t="str">
        <x:v>enum</x:v>
      </x:c>
      <x:c r="D19" s="4" t="str">
        <x:v>approved, pending_user_approval, needs_admin_review, disputed, paid, voided.</x:v>
      </x:c>
    </x:row>
  </x:sheetData>
  <x:pageMargins left="0.7" right="0.7" top="0.75" bottom="0.75" header="0.3" footer="0.3"/>
</x:worksheet>
</file>